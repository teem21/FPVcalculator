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ercial Propos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<sst xmlns="http://schemas.openxmlformats.org/spreadsheetml/2006/main" count="106" uniqueCount="82">
  <si>
    <r>
      <rPr>
        <b val="true"/>
        <sz val="14"/>
        <color rgb="FFFFFFFF"/>
        <rFont val="Arial"/>
        <family val="0"/>
        <charset val="1"/>
      </rPr>
      <t xml:space="preserve">AGR Hangzhou (</t>
    </r>
    <r>
      <rPr>
        <b val="true"/>
        <sz val="14"/>
        <color rgb="FFFFFFFF"/>
        <rFont val="Noto Sans CJK SC"/>
        <family val="2"/>
      </rPr>
      <t xml:space="preserve">启飞智能</t>
    </r>
    <r>
      <rPr>
        <b val="true"/>
        <sz val="14"/>
        <color rgb="FFFFFFFF"/>
        <rFont val="Arial"/>
        <family val="0"/>
        <charset val="1"/>
      </rPr>
      <t xml:space="preserve">)  ·  COMMERCIAL PROPOSAL  ·  FPV DRONE SYSTEM</t>
    </r>
  </si>
  <si>
    <t xml:space="preserve">Sample Tier  |  Rate 6.84 CNY/USD  |  FOB Hangzhou  |  07.05.2026</t>
  </si>
  <si>
    <t xml:space="preserve">#</t>
  </si>
  <si>
    <t xml:space="preserve">Item</t>
  </si>
  <si>
    <t xml:space="preserve">Specification</t>
  </si>
  <si>
    <t xml:space="preserve">Qty</t>
  </si>
  <si>
    <t xml:space="preserve">Price (CNY)</t>
  </si>
  <si>
    <t xml:space="preserve">Total (CNY)</t>
  </si>
  <si>
    <t xml:space="preserve">Total (USD)</t>
  </si>
  <si>
    <t xml:space="preserve">▸  FPV 15" — RADIO CHANNEL RF  (30 units)</t>
  </si>
  <si>
    <t xml:space="preserve">FPV 15" Drone — RF</t>
  </si>
  <si>
    <t xml:space="preserve">F722 PRO V2 S8 | ESC 110A 4IN1 | 4315 375KV × 4 | VTX 4W | 15×7×3 (CW×2+CCW×2) | 1200TVL StarLight HDR</t>
  </si>
  <si>
    <t xml:space="preserve">Battery 8S 16,000 mAh</t>
  </si>
  <si>
    <t xml:space="preserve">LiPo | 2.6 kg | XT-90 | × 2 pcs/drone</t>
  </si>
  <si>
    <t xml:space="preserve">RX BAYCKRC Gemini C3</t>
  </si>
  <si>
    <t xml:space="preserve">900/2400 MHz dual-band | T-shaped ant. 220mm × 2 included</t>
  </si>
  <si>
    <t xml:space="preserve">TX NANO GEMINI ELRS</t>
  </si>
  <si>
    <t xml:space="preserve">Dual TX | 900/2400 MHz | 1W</t>
  </si>
  <si>
    <t xml:space="preserve">Nano-JR to Micro-JR Adapter</t>
  </si>
  <si>
    <t xml:space="preserve">× 1 pcs/drone</t>
  </si>
  <si>
    <t xml:space="preserve">AI Module — Single Optics 500m</t>
  </si>
  <si>
    <t xml:space="preserve">Vehicle 500m | Person 500m | 50 targets | 6T</t>
  </si>
  <si>
    <t xml:space="preserve">VTX 5.8G 4W 48CH  [included in drone]</t>
  </si>
  <si>
    <t xml:space="preserve">5.8G | 4W | MMCX</t>
  </si>
  <si>
    <t xml:space="preserve">Subtotal RF × 30 units</t>
  </si>
  <si>
    <t xml:space="preserve">▸  FPV 15" — FIBER OPTIC 10 KM  (10 units)</t>
  </si>
  <si>
    <t xml:space="preserve">FPV 15" Drone — Fiber</t>
  </si>
  <si>
    <t xml:space="preserve">F722 PRO V2 S8 | ESC 110A 4IN1 | 4315 375KV × 4 | VTX 4W | 15×7×3 (CW×2+CCW×2) | fiber optic</t>
  </si>
  <si>
    <t xml:space="preserve">Ground Station 40 km</t>
  </si>
  <si>
    <t xml:space="preserve">Fiber ground unit — reinforced (with battery)</t>
  </si>
  <si>
    <t xml:space="preserve">Fiber Optic Cable 10 km Pro</t>
  </si>
  <si>
    <t xml:space="preserve">X=215 × 10 × 1.2 = 2,580 CNY/unit | built-in comm module</t>
  </si>
  <si>
    <t xml:space="preserve">Subtotal Fiber 10km × 10 units</t>
  </si>
  <si>
    <t xml:space="preserve">▸  FPV 15" — FIBER OPTIC 20 KM  (10 units)</t>
  </si>
  <si>
    <t xml:space="preserve">Fiber Optic Cable 20 km Pro</t>
  </si>
  <si>
    <t xml:space="preserve">X=215 × 20 × 1.2 = 5,160 CNY/unit | built-in comm module</t>
  </si>
  <si>
    <t xml:space="preserve">Subtotal Fiber 20km × 10 units</t>
  </si>
  <si>
    <t xml:space="preserve">▸  FPV 10" DRONE — MARK4 V2  (50 units)</t>
  </si>
  <si>
    <t xml:space="preserve">FPV 10" Drone V2</t>
  </si>
  <si>
    <t xml:space="preserve">F722 PRO V2 S8 30.5×30.5 Betaflight | ESC 65A 4IN1 6S | 3115 900KV | 1050×3 | 1200TVL StarLight HDR</t>
  </si>
  <si>
    <t xml:space="preserve">Battery 6S 8,000 mAh</t>
  </si>
  <si>
    <t xml:space="preserve">LiPo | 1.2 kg | × 1 pcs/drone</t>
  </si>
  <si>
    <t xml:space="preserve">Subtotal FPV 10" × 50 units</t>
  </si>
  <si>
    <t xml:space="preserve">▸  GENERAL EQUIPMENT (for all 100 drones — 10 operator kits)</t>
  </si>
  <si>
    <t xml:space="preserve">Radio Controller RadioMaster TX12 Mark II</t>
  </si>
  <si>
    <t xml:space="preserve">ELRS FCC | EdgeTX</t>
  </si>
  <si>
    <t xml:space="preserve">FPV Goggles SKYZONE Cobra X V4</t>
  </si>
  <si>
    <t xml:space="preserve">DVR | Diversity | Steadyview | 5.8G 48CH</t>
  </si>
  <si>
    <t xml:space="preserve">MicroSDHC 32GB V10 A1</t>
  </si>
  <si>
    <t xml:space="preserve">For FPV Goggles | × 1 pcs/set</t>
  </si>
  <si>
    <t xml:space="preserve">Charger 8S</t>
  </si>
  <si>
    <t xml:space="preserve">LiPo/Li-ion | AC 220V | for FPV 15"</t>
  </si>
  <si>
    <t xml:space="preserve">Charger 6S — HOTA D6 Pro</t>
  </si>
  <si>
    <t xml:space="preserve">Smart charger | for FPV 10" (additional)</t>
  </si>
  <si>
    <t xml:space="preserve">Subtotal general equipment</t>
  </si>
  <si>
    <t xml:space="preserve">▸  ANTENNAS KIT</t>
  </si>
  <si>
    <t xml:space="preserve">Mushroom 5.8G LHCP/RHCP 3.7dBi</t>
  </si>
  <si>
    <t xml:space="preserve">Circular polarization (LHCP or RHCP) | SMA female | RF drones only | × 2 pcs/set</t>
  </si>
  <si>
    <t xml:space="preserve">Foxeer Echo Patch 5.8G 8dBi LHCP</t>
  </si>
  <si>
    <t xml:space="preserve">Left-hand circular polarization (LHCP) | SMA female | × 2 pcs/set</t>
  </si>
  <si>
    <t xml:space="preserve">Moxon 900/915 MHz LP BETAFPV V2</t>
  </si>
  <si>
    <t xml:space="preserve">Linear polarization (LP) | SMA female | RF drones only</t>
  </si>
  <si>
    <t xml:space="preserve">Moxon 2400 MHz LP BETAFPV V2</t>
  </si>
  <si>
    <t xml:space="preserve">Maple 5.8G 11dBi LHCP</t>
  </si>
  <si>
    <t xml:space="preserve">Left-hand circular polarization (LHCP) | SMA female | RF drones only</t>
  </si>
  <si>
    <t xml:space="preserve">Helical 5.8G 13.8dBi LHCP/RHCP</t>
  </si>
  <si>
    <t xml:space="preserve">Circular polarization (LHCP or RHCP) | SMA female | RF drones only</t>
  </si>
  <si>
    <t xml:space="preserve">Clover 5.8G LHCP/RHCP</t>
  </si>
  <si>
    <t xml:space="preserve">Feeders RG-402 SMA male-female</t>
  </si>
  <si>
    <t xml:space="preserve">Subtotal antennas × 80 sets</t>
  </si>
  <si>
    <t xml:space="preserve">▸  OTHER SYSTEMS</t>
  </si>
  <si>
    <t xml:space="preserve">DJI Mavic Kit</t>
  </si>
  <si>
    <t xml:space="preserve">Full set | $2,380 × 6.84 = 16,279 CNY/unit</t>
  </si>
  <si>
    <t xml:space="preserve">Anti-Drone UAV</t>
  </si>
  <si>
    <t xml:space="preserve">Special system | $3,000 × 6.84 = 20,520 CNY/unit</t>
  </si>
  <si>
    <t xml:space="preserve">Subtotal other systems</t>
  </si>
  <si>
    <t xml:space="preserve">▸  ADDITIONAL ITEMS (independent order)</t>
  </si>
  <si>
    <t xml:space="preserve">Li-ion Battery 18650</t>
  </si>
  <si>
    <t xml:space="preserve">Format 18650 | 3-cell kit | independent from main order</t>
  </si>
  <si>
    <t xml:space="preserve">Subtotal additional items</t>
  </si>
  <si>
    <t xml:space="preserve">GRAND TOTAL  (FOB Hangzhou)</t>
  </si>
  <si>
    <t xml:space="preserve">Rate CNY/USD: 6.84  |  FOB Hangzhou  |  T-shaped antennas included in RX Gemini  |  VTX included in drone  |  DJI/Anti-drone priced in USD, rate applied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</si>
</sst>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sz val="9"/>
      <color rgb="FFD0D8E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472C4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8"/>
      <color rgb="FF77777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4E7E"/>
      </patternFill>
    </fill>
    <fill>
      <patternFill patternType="solid">
        <fgColor rgb="FF2E4E7E"/>
        <bgColor rgb="FF1F3864"/>
      </patternFill>
    </fill>
    <fill>
      <patternFill patternType="solid">
        <fgColor rgb="FFF2F5F8"/>
        <bgColor rgb="FFE9EFF5"/>
      </patternFill>
    </fill>
    <fill>
      <patternFill patternType="solid">
        <fgColor rgb="FFE8ECF0"/>
        <bgColor rgb="FFE9EFF5"/>
      </patternFill>
    </fill>
    <fill>
      <patternFill patternType="solid">
        <fgColor rgb="FFE9EFF5"/>
        <bgColor rgb="FFE8EC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  <border diagonalUp="false" diagonalDown="false">
      <left style="thin">
        <color rgb="FFD0D8E0"/>
      </left>
      <right/>
      <top style="thin">
        <color rgb="FFD0D8E0"/>
      </top>
      <bottom style="thin">
        <color rgb="FFD0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2F5F8"/>
      <rgbColor rgb="FFE9EFF5"/>
      <rgbColor rgb="FF660066"/>
      <rgbColor rgb="FFFF8080"/>
      <rgbColor rgb="FF0066CC"/>
      <rgbColor rgb="FFD0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1A1A1A"/>
      <rgbColor rgb="FF993300"/>
      <rgbColor rgb="FF993366"/>
      <rgbColor rgb="FF2E4E7E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H32" activeCellId="0" sqref="H3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42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16.71"/>
    <col collapsed="false" customWidth="true" hidden="false" outlineLevel="0" max="7" min="7" style="1" width="17.4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21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16.5" hidden="false" customHeight="true" outlineLevel="0" collapsed="false">
      <c r="A4" s="5" t="s">
        <v>9</v>
      </c>
      <c r="B4" s="5"/>
      <c r="C4" s="5"/>
      <c r="D4" s="5"/>
      <c r="E4" s="5"/>
      <c r="F4" s="5"/>
      <c r="G4" s="5"/>
    </row>
    <row r="5" customFormat="false" ht="30" hidden="false" customHeight="true" outlineLevel="0" collapsed="false">
      <c r="A5" s="6" t="n">
        <v>1</v>
      </c>
      <c r="B5" s="7" t="s">
        <v>10</v>
      </c>
      <c r="C5" s="8" t="s">
        <v>11</v>
      </c>
      <c r="D5" s="9" t="n">
        <v>30</v>
      </c>
      <c r="E5" s="10" t="n">
        <v>2100</v>
      </c>
      <c r="F5" s="11" t="n">
        <f aca="false">D5*E5</f>
        <v>63000</v>
      </c>
      <c r="G5" s="10" t="n">
        <f aca="false">F5/6.84</f>
        <v>9210.52631578947</v>
      </c>
    </row>
    <row r="6" customFormat="false" ht="30" hidden="false" customHeight="true" outlineLevel="0" collapsed="false">
      <c r="A6" s="12" t="n">
        <v>2</v>
      </c>
      <c r="B6" s="13" t="s">
        <v>12</v>
      </c>
      <c r="C6" s="14" t="s">
        <v>13</v>
      </c>
      <c r="D6" s="15" t="n">
        <v>30</v>
      </c>
      <c r="E6" s="16" t="n">
        <v>750</v>
      </c>
      <c r="F6" s="17" t="n">
        <f aca="false">D6*E6</f>
        <v>22500</v>
      </c>
      <c r="G6" s="16" t="n">
        <f aca="false">F6/6.84</f>
        <v>3289.47368421053</v>
      </c>
    </row>
    <row r="7" customFormat="false" ht="30" hidden="false" customHeight="true" outlineLevel="0" collapsed="false">
      <c r="A7" s="6" t="n">
        <v>3</v>
      </c>
      <c r="B7" s="7" t="s">
        <v>14</v>
      </c>
      <c r="C7" s="8" t="s">
        <v>15</v>
      </c>
      <c r="D7" s="9" t="n">
        <v>30</v>
      </c>
      <c r="E7" s="10" t="n">
        <v>165</v>
      </c>
      <c r="F7" s="11" t="n">
        <f aca="false">D7*E7</f>
        <v>4950</v>
      </c>
      <c r="G7" s="10" t="n">
        <f aca="false">F7/6.84</f>
        <v>723.684210526316</v>
      </c>
    </row>
    <row r="8" customFormat="false" ht="30" hidden="false" customHeight="true" outlineLevel="0" collapsed="false">
      <c r="A8" s="12" t="n">
        <v>4</v>
      </c>
      <c r="B8" s="13" t="s">
        <v>16</v>
      </c>
      <c r="C8" s="14" t="s">
        <v>17</v>
      </c>
      <c r="D8" s="15" t="n">
        <v>4</v>
      </c>
      <c r="E8" s="16" t="n">
        <v>326</v>
      </c>
      <c r="F8" s="17" t="n">
        <f aca="false">D8*E8</f>
        <v>1304</v>
      </c>
      <c r="G8" s="16" t="n">
        <f aca="false">F8/6.84</f>
        <v>190.643274853801</v>
      </c>
    </row>
    <row r="9" customFormat="false" ht="30" hidden="false" customHeight="true" outlineLevel="0" collapsed="false">
      <c r="A9" s="6" t="n">
        <v>5</v>
      </c>
      <c r="B9" s="7" t="s">
        <v>18</v>
      </c>
      <c r="C9" s="8" t="s">
        <v>19</v>
      </c>
      <c r="D9" s="9" t="n">
        <v>4</v>
      </c>
      <c r="E9" s="10" t="n">
        <v>33</v>
      </c>
      <c r="F9" s="11" t="n">
        <f aca="false">D9*E9</f>
        <v>132</v>
      </c>
      <c r="G9" s="10" t="n">
        <f aca="false">F9/6.84</f>
        <v>19.2982456140351</v>
      </c>
    </row>
    <row r="10" customFormat="false" ht="30" hidden="false" customHeight="true" outlineLevel="0" collapsed="false">
      <c r="A10" s="12" t="n">
        <v>6</v>
      </c>
      <c r="B10" s="13" t="s">
        <v>20</v>
      </c>
      <c r="C10" s="14" t="s">
        <v>21</v>
      </c>
      <c r="D10" s="15" t="n">
        <v>30</v>
      </c>
      <c r="E10" s="16" t="n">
        <v>1300</v>
      </c>
      <c r="F10" s="17" t="n">
        <f aca="false">D10*E10</f>
        <v>39000</v>
      </c>
      <c r="G10" s="16" t="n">
        <f aca="false">F10/6.84</f>
        <v>5701.75438596491</v>
      </c>
    </row>
    <row r="11" customFormat="false" ht="30" hidden="false" customHeight="true" outlineLevel="0" collapsed="false">
      <c r="A11" s="6" t="n">
        <v>7</v>
      </c>
      <c r="B11" s="18" t="s">
        <v>22</v>
      </c>
      <c r="C11" s="8" t="s">
        <v>23</v>
      </c>
      <c r="D11" s="9" t="n">
        <v>30</v>
      </c>
      <c r="E11" s="10" t="n">
        <v>0</v>
      </c>
      <c r="F11" s="11" t="n">
        <v>0</v>
      </c>
      <c r="G11" s="10" t="n">
        <v>0</v>
      </c>
    </row>
    <row r="12" customFormat="false" ht="21.75" hidden="false" customHeight="true" outlineLevel="0" collapsed="false">
      <c r="A12" s="19" t="s">
        <v>24</v>
      </c>
      <c r="B12" s="19"/>
      <c r="C12" s="19"/>
      <c r="D12" s="19"/>
      <c r="E12" s="19"/>
      <c r="F12" s="20" t="n">
        <f aca="false">SUM(F5:F11)</f>
        <v>130886</v>
      </c>
      <c r="G12" s="21" t="n">
        <f aca="false">F12/6.84</f>
        <v>19135.3801169591</v>
      </c>
    </row>
    <row r="13" customFormat="false" ht="16.5" hidden="false" customHeight="true" outlineLevel="0" collapsed="false">
      <c r="A13" s="5" t="s">
        <v>25</v>
      </c>
      <c r="B13" s="5"/>
      <c r="C13" s="5"/>
      <c r="D13" s="5"/>
      <c r="E13" s="5"/>
      <c r="F13" s="5"/>
      <c r="G13" s="5"/>
    </row>
    <row r="14" customFormat="false" ht="30" hidden="false" customHeight="true" outlineLevel="0" collapsed="false">
      <c r="A14" s="12" t="n">
        <v>1</v>
      </c>
      <c r="B14" s="13" t="s">
        <v>26</v>
      </c>
      <c r="C14" s="14" t="s">
        <v>27</v>
      </c>
      <c r="D14" s="15" t="n">
        <v>10</v>
      </c>
      <c r="E14" s="16" t="n">
        <v>1900</v>
      </c>
      <c r="F14" s="17" t="n">
        <f aca="false">D14*E14</f>
        <v>19000</v>
      </c>
      <c r="G14" s="16" t="n">
        <f aca="false">F14/6.84</f>
        <v>2777.77777777778</v>
      </c>
    </row>
    <row r="15" customFormat="false" ht="30" hidden="false" customHeight="true" outlineLevel="0" collapsed="false">
      <c r="A15" s="6" t="n">
        <v>2</v>
      </c>
      <c r="B15" s="7" t="s">
        <v>12</v>
      </c>
      <c r="C15" s="8" t="s">
        <v>13</v>
      </c>
      <c r="D15" s="9" t="n">
        <v>10</v>
      </c>
      <c r="E15" s="10" t="n">
        <v>750</v>
      </c>
      <c r="F15" s="11" t="n">
        <f aca="false">D15*E15</f>
        <v>7500</v>
      </c>
      <c r="G15" s="10" t="n">
        <f aca="false">F15/6.84</f>
        <v>1096.49122807018</v>
      </c>
    </row>
    <row r="16" customFormat="false" ht="30" hidden="false" customHeight="true" outlineLevel="0" collapsed="false">
      <c r="A16" s="12" t="n">
        <v>3</v>
      </c>
      <c r="B16" s="13" t="s">
        <v>28</v>
      </c>
      <c r="C16" s="14" t="s">
        <v>29</v>
      </c>
      <c r="D16" s="15" t="n">
        <v>10</v>
      </c>
      <c r="E16" s="16" t="n">
        <v>330</v>
      </c>
      <c r="F16" s="17" t="n">
        <f aca="false">D16*E16</f>
        <v>3300</v>
      </c>
      <c r="G16" s="16" t="n">
        <f aca="false">F16/6.84</f>
        <v>482.456140350877</v>
      </c>
    </row>
    <row r="17" customFormat="false" ht="30" hidden="false" customHeight="true" outlineLevel="0" collapsed="false">
      <c r="A17" s="6" t="n">
        <v>4</v>
      </c>
      <c r="B17" s="7" t="s">
        <v>30</v>
      </c>
      <c r="C17" s="8" t="s">
        <v>31</v>
      </c>
      <c r="D17" s="9" t="n">
        <v>10</v>
      </c>
      <c r="E17" s="10" t="n">
        <v>2580</v>
      </c>
      <c r="F17" s="11" t="n">
        <f aca="false">D17*E17</f>
        <v>25800</v>
      </c>
      <c r="G17" s="10" t="n">
        <f aca="false">F17/6.84</f>
        <v>3771.9298245614</v>
      </c>
    </row>
    <row r="18" customFormat="false" ht="30" hidden="false" customHeight="true" outlineLevel="0" collapsed="false">
      <c r="A18" s="12" t="n">
        <v>5</v>
      </c>
      <c r="B18" s="22" t="s">
        <v>22</v>
      </c>
      <c r="C18" s="14" t="s">
        <v>23</v>
      </c>
      <c r="D18" s="15" t="n">
        <v>10</v>
      </c>
      <c r="E18" s="16" t="n">
        <v>0</v>
      </c>
      <c r="F18" s="17" t="n">
        <v>0</v>
      </c>
      <c r="G18" s="16" t="n">
        <v>0</v>
      </c>
    </row>
    <row r="19" customFormat="false" ht="30" hidden="false" customHeight="true" outlineLevel="0" collapsed="false">
      <c r="A19" s="19" t="s">
        <v>32</v>
      </c>
      <c r="B19" s="19"/>
      <c r="C19" s="19"/>
      <c r="D19" s="19"/>
      <c r="E19" s="19"/>
      <c r="F19" s="20" t="n">
        <f aca="false">SUM(F14:F18)</f>
        <v>55600</v>
      </c>
      <c r="G19" s="21" t="n">
        <f aca="false">F19/6.84</f>
        <v>8128.65497076023</v>
      </c>
    </row>
    <row r="20" customFormat="false" ht="30" hidden="false" customHeight="true" outlineLevel="0" collapsed="false">
      <c r="A20" s="5" t="s">
        <v>33</v>
      </c>
      <c r="B20" s="5"/>
      <c r="C20" s="5"/>
      <c r="D20" s="5"/>
      <c r="E20" s="5"/>
      <c r="F20" s="5"/>
      <c r="G20" s="5"/>
    </row>
    <row r="21" customFormat="false" ht="30" hidden="false" customHeight="true" outlineLevel="0" collapsed="false">
      <c r="A21" s="6" t="n">
        <v>1</v>
      </c>
      <c r="B21" s="7" t="s">
        <v>26</v>
      </c>
      <c r="C21" s="8" t="s">
        <v>27</v>
      </c>
      <c r="D21" s="9" t="n">
        <v>10</v>
      </c>
      <c r="E21" s="10" t="n">
        <v>1900</v>
      </c>
      <c r="F21" s="11" t="n">
        <f aca="false">D21*E21</f>
        <v>19000</v>
      </c>
      <c r="G21" s="10" t="n">
        <f aca="false">F21/6.84</f>
        <v>2777.77777777778</v>
      </c>
    </row>
    <row r="22" customFormat="false" ht="30" hidden="false" customHeight="true" outlineLevel="0" collapsed="false">
      <c r="A22" s="12" t="n">
        <v>2</v>
      </c>
      <c r="B22" s="13" t="s">
        <v>12</v>
      </c>
      <c r="C22" s="14" t="s">
        <v>13</v>
      </c>
      <c r="D22" s="15" t="n">
        <v>10</v>
      </c>
      <c r="E22" s="16" t="n">
        <v>750</v>
      </c>
      <c r="F22" s="17" t="n">
        <f aca="false">D22*E22</f>
        <v>7500</v>
      </c>
      <c r="G22" s="16" t="n">
        <f aca="false">F22/6.84</f>
        <v>1096.49122807018</v>
      </c>
    </row>
    <row r="23" customFormat="false" ht="21.75" hidden="false" customHeight="true" outlineLevel="0" collapsed="false">
      <c r="A23" s="6" t="n">
        <v>3</v>
      </c>
      <c r="B23" s="7" t="s">
        <v>28</v>
      </c>
      <c r="C23" s="8" t="s">
        <v>29</v>
      </c>
      <c r="D23" s="9" t="n">
        <v>10</v>
      </c>
      <c r="E23" s="10" t="n">
        <v>330</v>
      </c>
      <c r="F23" s="11" t="n">
        <f aca="false">D23*E23</f>
        <v>3300</v>
      </c>
      <c r="G23" s="10" t="n">
        <f aca="false">F23/6.84</f>
        <v>482.456140350877</v>
      </c>
    </row>
    <row r="24" customFormat="false" ht="16.5" hidden="false" customHeight="true" outlineLevel="0" collapsed="false">
      <c r="A24" s="6" t="n">
        <v>4</v>
      </c>
      <c r="B24" s="7" t="s">
        <v>34</v>
      </c>
      <c r="C24" s="8" t="s">
        <v>35</v>
      </c>
      <c r="D24" s="9" t="n">
        <v>10</v>
      </c>
      <c r="E24" s="10" t="n">
        <v>5160</v>
      </c>
      <c r="F24" s="11" t="n">
        <f aca="false">D24*E24</f>
        <v>51600</v>
      </c>
      <c r="G24" s="10" t="n">
        <f aca="false">F24/6.84</f>
        <v>7543.85964912281</v>
      </c>
    </row>
    <row r="25" customFormat="false" ht="30" hidden="false" customHeight="true" outlineLevel="0" collapsed="false">
      <c r="A25" s="6" t="n">
        <v>5</v>
      </c>
      <c r="B25" s="18" t="s">
        <v>22</v>
      </c>
      <c r="C25" s="8" t="s">
        <v>23</v>
      </c>
      <c r="D25" s="9" t="n">
        <v>10</v>
      </c>
      <c r="E25" s="10" t="n">
        <v>0</v>
      </c>
      <c r="F25" s="11" t="n">
        <v>0</v>
      </c>
      <c r="G25" s="10" t="n">
        <v>0</v>
      </c>
    </row>
    <row r="26" customFormat="false" ht="30" hidden="false" customHeight="true" outlineLevel="0" collapsed="false">
      <c r="A26" s="19" t="s">
        <v>36</v>
      </c>
      <c r="B26" s="19"/>
      <c r="C26" s="19"/>
      <c r="D26" s="19"/>
      <c r="E26" s="19"/>
      <c r="F26" s="20" t="n">
        <f aca="false">SUM(F21:F25)</f>
        <v>81400</v>
      </c>
      <c r="G26" s="21" t="n">
        <f aca="false">F26/6.84</f>
        <v>11900.5847953216</v>
      </c>
    </row>
    <row r="27" customFormat="false" ht="30" hidden="false" customHeight="true" outlineLevel="0" collapsed="false">
      <c r="A27" s="5" t="s">
        <v>37</v>
      </c>
      <c r="B27" s="5"/>
      <c r="C27" s="5"/>
      <c r="D27" s="5"/>
      <c r="E27" s="5"/>
      <c r="F27" s="5"/>
      <c r="G27" s="5"/>
    </row>
    <row r="28" customFormat="false" ht="30" hidden="false" customHeight="true" outlineLevel="0" collapsed="false">
      <c r="A28" s="12" t="n">
        <v>1</v>
      </c>
      <c r="B28" s="13" t="s">
        <v>38</v>
      </c>
      <c r="C28" s="14" t="s">
        <v>39</v>
      </c>
      <c r="D28" s="15" t="n">
        <v>50</v>
      </c>
      <c r="E28" s="16" t="n">
        <v>2483</v>
      </c>
      <c r="F28" s="17" t="n">
        <f aca="false">D28*E28</f>
        <v>124150</v>
      </c>
      <c r="G28" s="16" t="n">
        <f aca="false">F28/6.84</f>
        <v>18150.5847953216</v>
      </c>
    </row>
    <row r="29" customFormat="false" ht="30" hidden="false" customHeight="true" outlineLevel="0" collapsed="false">
      <c r="A29" s="6" t="n">
        <v>2</v>
      </c>
      <c r="B29" s="7" t="s">
        <v>40</v>
      </c>
      <c r="C29" s="8" t="s">
        <v>41</v>
      </c>
      <c r="D29" s="9" t="n">
        <v>50</v>
      </c>
      <c r="E29" s="10" t="n">
        <v>350</v>
      </c>
      <c r="F29" s="11" t="n">
        <f aca="false">D29*E29</f>
        <v>17500</v>
      </c>
      <c r="G29" s="10" t="n">
        <f aca="false">F29/6.84</f>
        <v>2558.47953216374</v>
      </c>
    </row>
    <row r="30" customFormat="false" ht="30" hidden="false" customHeight="true" outlineLevel="0" collapsed="false">
      <c r="A30" s="12" t="n">
        <v>3</v>
      </c>
      <c r="B30" s="13" t="s">
        <v>14</v>
      </c>
      <c r="C30" s="14" t="s">
        <v>15</v>
      </c>
      <c r="D30" s="15" t="n">
        <v>50</v>
      </c>
      <c r="E30" s="16" t="n">
        <v>165</v>
      </c>
      <c r="F30" s="17" t="n">
        <f aca="false">D30*E30</f>
        <v>8250</v>
      </c>
      <c r="G30" s="16" t="n">
        <f aca="false">F30/6.84</f>
        <v>1206.14035087719</v>
      </c>
    </row>
    <row r="31" customFormat="false" ht="30" hidden="false" customHeight="true" outlineLevel="0" collapsed="false">
      <c r="A31" s="6" t="n">
        <v>4</v>
      </c>
      <c r="B31" s="7" t="s">
        <v>16</v>
      </c>
      <c r="C31" s="8" t="s">
        <v>17</v>
      </c>
      <c r="D31" s="9" t="n">
        <v>6</v>
      </c>
      <c r="E31" s="10" t="n">
        <v>326</v>
      </c>
      <c r="F31" s="11" t="n">
        <f aca="false">D31*E31</f>
        <v>1956</v>
      </c>
      <c r="G31" s="10" t="n">
        <f aca="false">F31/6.84</f>
        <v>285.964912280702</v>
      </c>
    </row>
    <row r="32" customFormat="false" ht="30" hidden="false" customHeight="true" outlineLevel="0" collapsed="false">
      <c r="A32" s="12" t="n">
        <v>5</v>
      </c>
      <c r="B32" s="13" t="s">
        <v>18</v>
      </c>
      <c r="C32" s="14" t="s">
        <v>19</v>
      </c>
      <c r="D32" s="15" t="n">
        <v>6</v>
      </c>
      <c r="E32" s="16" t="n">
        <v>33</v>
      </c>
      <c r="F32" s="17" t="n">
        <f aca="false">D32*E32</f>
        <v>198</v>
      </c>
      <c r="G32" s="16" t="n">
        <f aca="false">F32/6.84</f>
        <v>28.9473684210526</v>
      </c>
    </row>
    <row r="33" customFormat="false" ht="30" hidden="false" customHeight="true" outlineLevel="0" collapsed="false">
      <c r="A33" s="6" t="n">
        <v>6</v>
      </c>
      <c r="B33" s="7" t="s">
        <v>20</v>
      </c>
      <c r="C33" s="8" t="s">
        <v>21</v>
      </c>
      <c r="D33" s="9" t="n">
        <v>50</v>
      </c>
      <c r="E33" s="10" t="n">
        <v>1300</v>
      </c>
      <c r="F33" s="11" t="n">
        <f aca="false">D33*E33</f>
        <v>65000</v>
      </c>
      <c r="G33" s="10" t="n">
        <f aca="false">F33/6.84</f>
        <v>9502.92397660819</v>
      </c>
    </row>
    <row r="34" customFormat="false" ht="21.75" hidden="false" customHeight="true" outlineLevel="0" collapsed="false">
      <c r="A34" s="12" t="n">
        <v>7</v>
      </c>
      <c r="B34" s="13" t="s">
        <v>22</v>
      </c>
      <c r="C34" s="14" t="s">
        <v>23</v>
      </c>
      <c r="D34" s="23" t="n">
        <v>50</v>
      </c>
      <c r="E34" s="24" t="n">
        <v>0</v>
      </c>
      <c r="F34" s="17" t="n">
        <v>0</v>
      </c>
      <c r="G34" s="16" t="n">
        <v>0</v>
      </c>
    </row>
    <row r="35" customFormat="false" ht="16.5" hidden="false" customHeight="true" outlineLevel="0" collapsed="false">
      <c r="A35" s="19" t="s">
        <v>42</v>
      </c>
      <c r="B35" s="19"/>
      <c r="C35" s="19"/>
      <c r="D35" s="19"/>
      <c r="E35" s="19"/>
      <c r="F35" s="20" t="n">
        <f aca="false">SUM(F28:F34)</f>
        <v>217054</v>
      </c>
      <c r="G35" s="21" t="n">
        <f aca="false">F35/6.84</f>
        <v>31733.0409356725</v>
      </c>
    </row>
    <row r="36" customFormat="false" ht="30" hidden="false" customHeight="true" outlineLevel="0" collapsed="false">
      <c r="A36" s="5" t="s">
        <v>43</v>
      </c>
      <c r="B36" s="5"/>
      <c r="C36" s="5"/>
      <c r="D36" s="5"/>
      <c r="E36" s="5"/>
      <c r="F36" s="5"/>
      <c r="G36" s="5"/>
    </row>
    <row r="37" customFormat="false" ht="30" hidden="false" customHeight="true" outlineLevel="0" collapsed="false">
      <c r="A37" s="6" t="n">
        <v>1</v>
      </c>
      <c r="B37" s="7" t="s">
        <v>44</v>
      </c>
      <c r="C37" s="8" t="s">
        <v>45</v>
      </c>
      <c r="D37" s="9" t="n">
        <v>10</v>
      </c>
      <c r="E37" s="10" t="n">
        <v>650</v>
      </c>
      <c r="F37" s="11" t="n">
        <f aca="false">D37*E37</f>
        <v>6500</v>
      </c>
      <c r="G37" s="10" t="n">
        <f aca="false">F37/6.84</f>
        <v>950.292397660819</v>
      </c>
    </row>
    <row r="38" customFormat="false" ht="30" hidden="false" customHeight="true" outlineLevel="0" collapsed="false">
      <c r="A38" s="6" t="n">
        <v>2</v>
      </c>
      <c r="B38" s="7" t="s">
        <v>46</v>
      </c>
      <c r="C38" s="8" t="s">
        <v>47</v>
      </c>
      <c r="D38" s="9" t="n">
        <v>10</v>
      </c>
      <c r="E38" s="10" t="n">
        <v>1368</v>
      </c>
      <c r="F38" s="11" t="n">
        <f aca="false">D38*E38</f>
        <v>13680</v>
      </c>
      <c r="G38" s="10" t="n">
        <f aca="false">F38/6.84</f>
        <v>2000</v>
      </c>
    </row>
    <row r="39" customFormat="false" ht="30" hidden="false" customHeight="true" outlineLevel="0" collapsed="false">
      <c r="A39" s="12" t="n">
        <v>3</v>
      </c>
      <c r="B39" s="13" t="s">
        <v>48</v>
      </c>
      <c r="C39" s="14" t="s">
        <v>49</v>
      </c>
      <c r="D39" s="15" t="n">
        <v>10</v>
      </c>
      <c r="E39" s="16" t="n">
        <v>70</v>
      </c>
      <c r="F39" s="17" t="n">
        <f aca="false">D39*E39</f>
        <v>700</v>
      </c>
      <c r="G39" s="16" t="n">
        <f aca="false">F39/6.84</f>
        <v>102.33918128655</v>
      </c>
    </row>
    <row r="40" customFormat="false" ht="30" hidden="false" customHeight="true" outlineLevel="0" collapsed="false">
      <c r="A40" s="6" t="n">
        <v>4</v>
      </c>
      <c r="B40" s="7" t="s">
        <v>50</v>
      </c>
      <c r="C40" s="8" t="s">
        <v>51</v>
      </c>
      <c r="D40" s="9" t="n">
        <v>6</v>
      </c>
      <c r="E40" s="10" t="n">
        <v>550</v>
      </c>
      <c r="F40" s="11" t="n">
        <f aca="false">D40*E40</f>
        <v>3300</v>
      </c>
      <c r="G40" s="10" t="n">
        <f aca="false">F40/6.84</f>
        <v>482.456140350877</v>
      </c>
    </row>
    <row r="41" customFormat="false" ht="30" hidden="false" customHeight="true" outlineLevel="0" collapsed="false">
      <c r="A41" s="12" t="n">
        <v>5</v>
      </c>
      <c r="B41" s="13" t="s">
        <v>52</v>
      </c>
      <c r="C41" s="14" t="s">
        <v>53</v>
      </c>
      <c r="D41" s="15" t="n">
        <v>6</v>
      </c>
      <c r="E41" s="16" t="n">
        <v>350</v>
      </c>
      <c r="F41" s="17" t="n">
        <f aca="false">D41*E41</f>
        <v>2100</v>
      </c>
      <c r="G41" s="16" t="n">
        <f aca="false">F41/6.84</f>
        <v>307.017543859649</v>
      </c>
    </row>
    <row r="42" customFormat="false" ht="30" hidden="false" customHeight="true" outlineLevel="0" collapsed="false">
      <c r="A42" s="19" t="s">
        <v>54</v>
      </c>
      <c r="B42" s="19"/>
      <c r="C42" s="19"/>
      <c r="D42" s="19"/>
      <c r="E42" s="19"/>
      <c r="F42" s="20" t="n">
        <f aca="false">SUM(F37:F41)</f>
        <v>26280</v>
      </c>
      <c r="G42" s="21" t="n">
        <f aca="false">F42/6.84</f>
        <v>3842.1052631579</v>
      </c>
    </row>
    <row r="43" customFormat="false" ht="30" hidden="false" customHeight="true" outlineLevel="0" collapsed="false">
      <c r="A43" s="5" t="s">
        <v>55</v>
      </c>
      <c r="B43" s="5"/>
      <c r="C43" s="5"/>
      <c r="D43" s="5"/>
      <c r="E43" s="5"/>
      <c r="F43" s="5"/>
      <c r="G43" s="5"/>
    </row>
    <row r="44" customFormat="false" ht="21.75" hidden="false" customHeight="true" outlineLevel="0" collapsed="false">
      <c r="A44" s="6" t="n">
        <v>1</v>
      </c>
      <c r="B44" s="7" t="s">
        <v>56</v>
      </c>
      <c r="C44" s="8" t="s">
        <v>57</v>
      </c>
      <c r="D44" s="9" t="n">
        <v>80</v>
      </c>
      <c r="E44" s="10" t="n">
        <v>42</v>
      </c>
      <c r="F44" s="11" t="n">
        <f aca="false">D44*E44</f>
        <v>3360</v>
      </c>
      <c r="G44" s="10" t="n">
        <f aca="false">F44/6.84</f>
        <v>491.228070175439</v>
      </c>
    </row>
    <row r="45" customFormat="false" ht="16.5" hidden="false" customHeight="true" outlineLevel="0" collapsed="false">
      <c r="A45" s="12" t="n">
        <v>2</v>
      </c>
      <c r="B45" s="13" t="s">
        <v>58</v>
      </c>
      <c r="C45" s="14" t="s">
        <v>59</v>
      </c>
      <c r="D45" s="15" t="n">
        <v>15</v>
      </c>
      <c r="E45" s="16" t="n">
        <v>108</v>
      </c>
      <c r="F45" s="17" t="n">
        <f aca="false">D45*E45</f>
        <v>1620</v>
      </c>
      <c r="G45" s="16" t="n">
        <f aca="false">F45/6.84</f>
        <v>236.842105263158</v>
      </c>
    </row>
    <row r="46" customFormat="false" ht="30" hidden="false" customHeight="true" outlineLevel="0" collapsed="false">
      <c r="A46" s="6" t="n">
        <v>3</v>
      </c>
      <c r="B46" s="7" t="s">
        <v>60</v>
      </c>
      <c r="C46" s="8" t="s">
        <v>61</v>
      </c>
      <c r="D46" s="9" t="n">
        <v>15</v>
      </c>
      <c r="E46" s="10" t="n">
        <v>48.24</v>
      </c>
      <c r="F46" s="11" t="n">
        <f aca="false">D46*E46</f>
        <v>723.6</v>
      </c>
      <c r="G46" s="10" t="n">
        <f aca="false">F46/6.84</f>
        <v>105.789473684211</v>
      </c>
    </row>
    <row r="47" customFormat="false" ht="30" hidden="false" customHeight="true" outlineLevel="0" collapsed="false">
      <c r="A47" s="12" t="n">
        <v>4</v>
      </c>
      <c r="B47" s="13" t="s">
        <v>62</v>
      </c>
      <c r="C47" s="14" t="s">
        <v>61</v>
      </c>
      <c r="D47" s="15" t="n">
        <v>15</v>
      </c>
      <c r="E47" s="16" t="n">
        <v>40.77</v>
      </c>
      <c r="F47" s="17" t="n">
        <f aca="false">D47*E47</f>
        <v>611.55</v>
      </c>
      <c r="G47" s="16" t="n">
        <f aca="false">F47/6.84</f>
        <v>89.4078947368421</v>
      </c>
    </row>
    <row r="48" customFormat="false" ht="30" hidden="false" customHeight="true" outlineLevel="0" collapsed="false">
      <c r="A48" s="6" t="n">
        <v>5</v>
      </c>
      <c r="B48" s="7" t="s">
        <v>63</v>
      </c>
      <c r="C48" s="8" t="s">
        <v>64</v>
      </c>
      <c r="D48" s="9" t="n">
        <v>15</v>
      </c>
      <c r="E48" s="10" t="n">
        <v>170</v>
      </c>
      <c r="F48" s="11" t="n">
        <f aca="false">D48*E48</f>
        <v>2550</v>
      </c>
      <c r="G48" s="10" t="n">
        <f aca="false">F48/6.84</f>
        <v>372.80701754386</v>
      </c>
    </row>
    <row r="49" customFormat="false" ht="30" hidden="false" customHeight="true" outlineLevel="0" collapsed="false">
      <c r="A49" s="12" t="n">
        <v>6</v>
      </c>
      <c r="B49" s="13" t="s">
        <v>65</v>
      </c>
      <c r="C49" s="14" t="s">
        <v>66</v>
      </c>
      <c r="D49" s="15" t="n">
        <v>15</v>
      </c>
      <c r="E49" s="16" t="n">
        <v>67</v>
      </c>
      <c r="F49" s="17" t="n">
        <f aca="false">D49*E49</f>
        <v>1005</v>
      </c>
      <c r="G49" s="16" t="n">
        <f aca="false">F49/6.84</f>
        <v>146.929824561404</v>
      </c>
    </row>
    <row r="50" customFormat="false" ht="30" hidden="false" customHeight="true" outlineLevel="0" collapsed="false">
      <c r="A50" s="6" t="n">
        <v>7</v>
      </c>
      <c r="B50" s="13" t="s">
        <v>67</v>
      </c>
      <c r="C50" s="14" t="s">
        <v>66</v>
      </c>
      <c r="D50" s="23" t="n">
        <v>80</v>
      </c>
      <c r="E50" s="24" t="n">
        <v>62</v>
      </c>
      <c r="F50" s="11" t="n">
        <f aca="false">D50*E50</f>
        <v>4960</v>
      </c>
      <c r="G50" s="10" t="n">
        <f aca="false">F50/6.84</f>
        <v>725.146198830409</v>
      </c>
    </row>
    <row r="51" customFormat="false" ht="21.75" hidden="false" customHeight="true" outlineLevel="0" collapsed="false">
      <c r="A51" s="12" t="n">
        <v>8</v>
      </c>
      <c r="B51" s="13" t="s">
        <v>68</v>
      </c>
      <c r="C51" s="14"/>
      <c r="D51" s="23" t="n">
        <v>240</v>
      </c>
      <c r="E51" s="24" t="n">
        <v>46</v>
      </c>
      <c r="F51" s="24" t="n">
        <f aca="false">D51*E51</f>
        <v>11040</v>
      </c>
      <c r="G51" s="24" t="n">
        <f aca="false">F51/6.84</f>
        <v>1614.0350877193</v>
      </c>
    </row>
    <row r="52" customFormat="false" ht="16.5" hidden="false" customHeight="true" outlineLevel="0" collapsed="false">
      <c r="A52" s="19" t="s">
        <v>69</v>
      </c>
      <c r="B52" s="19"/>
      <c r="C52" s="19"/>
      <c r="D52" s="19"/>
      <c r="E52" s="19"/>
      <c r="F52" s="20" t="n">
        <f aca="false">SUM(F44:F51)</f>
        <v>25870.15</v>
      </c>
      <c r="G52" s="21" t="n">
        <f aca="false">F52/6.84</f>
        <v>3782.18567251462</v>
      </c>
    </row>
    <row r="53" customFormat="false" ht="30" hidden="false" customHeight="true" outlineLevel="0" collapsed="false">
      <c r="A53" s="5" t="s">
        <v>70</v>
      </c>
      <c r="B53" s="5"/>
      <c r="C53" s="5"/>
      <c r="D53" s="5"/>
      <c r="E53" s="5"/>
      <c r="F53" s="5"/>
      <c r="G53" s="5"/>
    </row>
    <row r="54" customFormat="false" ht="30" hidden="false" customHeight="true" outlineLevel="0" collapsed="false">
      <c r="A54" s="6" t="n">
        <v>1</v>
      </c>
      <c r="B54" s="7" t="s">
        <v>71</v>
      </c>
      <c r="C54" s="8" t="s">
        <v>72</v>
      </c>
      <c r="D54" s="9" t="n">
        <v>5</v>
      </c>
      <c r="E54" s="10" t="n">
        <v>16279</v>
      </c>
      <c r="F54" s="11" t="n">
        <f aca="false">D54*E54</f>
        <v>81395</v>
      </c>
      <c r="G54" s="10" t="n">
        <f aca="false">F54/6.84</f>
        <v>11899.8538011696</v>
      </c>
    </row>
    <row r="55" customFormat="false" ht="30" hidden="false" customHeight="true" outlineLevel="0" collapsed="false">
      <c r="A55" s="12" t="n">
        <v>2</v>
      </c>
      <c r="B55" s="13" t="s">
        <v>73</v>
      </c>
      <c r="C55" s="14" t="s">
        <v>74</v>
      </c>
      <c r="D55" s="15" t="n">
        <v>1</v>
      </c>
      <c r="E55" s="16" t="n">
        <v>20520</v>
      </c>
      <c r="F55" s="17" t="n">
        <f aca="false">D55*E55</f>
        <v>20520</v>
      </c>
      <c r="G55" s="16" t="n">
        <f aca="false">F55/6.84</f>
        <v>3000</v>
      </c>
    </row>
    <row r="56" customFormat="false" ht="30" hidden="false" customHeight="true" outlineLevel="0" collapsed="false">
      <c r="A56" s="19" t="s">
        <v>75</v>
      </c>
      <c r="B56" s="19"/>
      <c r="C56" s="19"/>
      <c r="D56" s="19"/>
      <c r="E56" s="19"/>
      <c r="F56" s="20" t="n">
        <f aca="false">SUM(F54:F55)</f>
        <v>101915</v>
      </c>
      <c r="G56" s="21" t="n">
        <f aca="false">F56/6.84</f>
        <v>14899.8538011696</v>
      </c>
    </row>
    <row r="57" customFormat="false" ht="30" hidden="false" customHeight="true" outlineLevel="0" collapsed="false"/>
    <row r="58" customFormat="false" ht="30" hidden="false" customHeight="true" outlineLevel="0" collapsed="false">
      <c r="A58" s="5" t="s">
        <v>76</v>
      </c>
      <c r="B58" s="5"/>
      <c r="C58" s="5"/>
      <c r="D58" s="5"/>
      <c r="E58" s="5"/>
      <c r="F58" s="5"/>
      <c r="G58" s="5"/>
    </row>
    <row r="59" customFormat="false" ht="30" hidden="false" customHeight="true" outlineLevel="0" collapsed="false">
      <c r="A59" s="6" t="n">
        <v>1</v>
      </c>
      <c r="B59" s="7" t="s">
        <v>77</v>
      </c>
      <c r="C59" s="8" t="s">
        <v>78</v>
      </c>
      <c r="D59" s="9" t="n">
        <v>30</v>
      </c>
      <c r="E59" s="10" t="n">
        <v>22</v>
      </c>
      <c r="F59" s="11" t="n">
        <f aca="false">D59*E59</f>
        <v>660</v>
      </c>
      <c r="G59" s="10" t="n">
        <f aca="false">F59/6.84</f>
        <v>96.4912280701754</v>
      </c>
    </row>
    <row r="60" customFormat="false" ht="30" hidden="false" customHeight="true" outlineLevel="0" collapsed="false">
      <c r="A60" s="19" t="s">
        <v>79</v>
      </c>
      <c r="B60" s="19"/>
      <c r="C60" s="19"/>
      <c r="D60" s="19"/>
      <c r="E60" s="19"/>
      <c r="F60" s="20" t="n">
        <f aca="false">SUM(F59:F59)</f>
        <v>660</v>
      </c>
      <c r="G60" s="21" t="n">
        <f aca="false">F60/6.84</f>
        <v>96.4912280701754</v>
      </c>
    </row>
    <row r="61" customFormat="false" ht="21.75" hidden="false" customHeight="true" outlineLevel="0" collapsed="false">
      <c r="A61" s="19" t="s">
        <v>80</v>
      </c>
      <c r="B61" s="19"/>
      <c r="C61" s="19"/>
      <c r="D61" s="19"/>
      <c r="E61" s="19"/>
      <c r="F61" s="20" t="n">
        <f aca="false">F12+F19+F26+F35+F42+F52+F56+F60</f>
        <v>639665.15</v>
      </c>
      <c r="G61" s="21" t="n">
        <f aca="false">F61/6.84</f>
        <v>93518.2967836257</v>
      </c>
    </row>
    <row r="62" customFormat="false" ht="16.5" hidden="false" customHeight="true" outlineLevel="0" collapsed="false">
      <c r="A62" s="25" t="s">
        <v>81</v>
      </c>
      <c r="B62" s="25"/>
      <c r="C62" s="25"/>
      <c r="D62" s="25"/>
      <c r="E62" s="25"/>
      <c r="F62" s="25"/>
      <c r="G62" s="25"/>
    </row>
    <row r="63" customFormat="false" ht="30" hidden="false" customHeight="true" outlineLevel="0" collapsed="false">
      <c r="A63" s="26"/>
      <c r="B63" s="26"/>
      <c r="C63" s="26"/>
      <c r="D63" s="26"/>
      <c r="E63" s="26"/>
      <c r="F63" s="26"/>
      <c r="G63" s="26"/>
    </row>
    <row r="64" customFormat="false" ht="30" hidden="false" customHeight="true" outlineLevel="0" collapsed="false"/>
    <row r="65" customFormat="false" ht="21.75" hidden="false" customHeight="true" outlineLevel="0" collapsed="false"/>
    <row r="67" customFormat="false" ht="16.5" hidden="false" customHeight="true" outlineLevel="0" collapsed="false">
      <c r="A67" s="26"/>
      <c r="B67" s="26"/>
      <c r="C67" s="26"/>
      <c r="D67" s="26"/>
      <c r="E67" s="26"/>
      <c r="F67" s="26"/>
      <c r="G67" s="26"/>
    </row>
    <row r="68" customFormat="false" ht="30" hidden="false" customHeight="true" outlineLevel="0" collapsed="false"/>
    <row r="69" customFormat="false" ht="21.75" hidden="false" customHeight="true" outlineLevel="0" collapsed="false"/>
    <row r="70" customFormat="false" ht="31.5" hidden="false" customHeight="true" outlineLevel="0" collapsed="false"/>
    <row r="71" customFormat="false" ht="15.75" hidden="false" customHeight="true" outlineLevel="0" collapsed="false">
      <c r="A71" s="26"/>
      <c r="B71" s="26"/>
      <c r="C71" s="26"/>
      <c r="D71" s="26"/>
      <c r="E71" s="26"/>
      <c r="F71" s="26"/>
      <c r="G71" s="26"/>
    </row>
  </sheetData>
  <mergeCells count="23">
    <mergeCell ref="A1:G1"/>
    <mergeCell ref="A2:G2"/>
    <mergeCell ref="A4:G4"/>
    <mergeCell ref="A12:E12"/>
    <mergeCell ref="A13:G13"/>
    <mergeCell ref="A19:E19"/>
    <mergeCell ref="A20:G20"/>
    <mergeCell ref="A26:E26"/>
    <mergeCell ref="A27:G27"/>
    <mergeCell ref="A35:E35"/>
    <mergeCell ref="A36:G36"/>
    <mergeCell ref="A42:E42"/>
    <mergeCell ref="A43:G43"/>
    <mergeCell ref="A52:E52"/>
    <mergeCell ref="A53:G53"/>
    <mergeCell ref="A56:E56"/>
    <mergeCell ref="A58:G58"/>
    <mergeCell ref="A60:E60"/>
    <mergeCell ref="A61:E61"/>
    <mergeCell ref="A62:G62"/>
    <mergeCell ref="A63:G63"/>
    <mergeCell ref="A67:G67"/>
    <mergeCell ref="A71:G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2026-05-07T11:49:33Z</dcterms:created>
  <dc:creator>openpyxl</dc:creator>
  <dc:description/>
  <dc:language>en-US</dc:language>
  <cp:lastModifiedBy>User</cp:lastModifiedBy>
  <dcterms:modified xsi:type="dcterms:W3CDTF">2026-05-08T03:57:19Z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